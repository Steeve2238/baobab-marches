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e &amp; Parametres" sheetId="1" state="visible" r:id="rId3"/>
    <sheet name="Registre offres partenaires" sheetId="2" state="visible" r:id="rId4"/>
    <sheet name="Calcul par offre" sheetId="3" state="visible" r:id="rId5"/>
    <sheet name="Synthese par article" sheetId="4" state="visible" r:id="rId6"/>
  </sheets>
  <definedNames>
    <definedName function="false" hidden="false" name="COMMISSION_DBS_MIN" vbProcedure="false">'Legende &amp; Parametres'!$B$31</definedName>
    <definedName function="false" hidden="false" name="FORFAIT_SWIFT" vbProcedure="false">'Legende &amp; Parametres'!$B$33</definedName>
    <definedName function="false" hidden="false" name="FORFAIT_TIMBRE" vbProcedure="false">'Legende &amp; Parametres'!$B$34</definedName>
    <definedName function="false" hidden="false" name="TAUX_ASSURANCE" vbProcedure="false">'Legende &amp; Parametres'!$B$26</definedName>
    <definedName function="false" hidden="false" name="TAUX_BIC" vbProcedure="false">'Legende &amp; Parametres'!$B$23</definedName>
    <definedName function="false" hidden="false" name="TAUX_CHANGE_EUR" vbProcedure="false">'Legende &amp; Parametres'!$B$28</definedName>
    <definedName function="false" hidden="false" name="TAUX_COMMISSION_DBS" vbProcedure="false">'Legende &amp; Parametres'!$B$30</definedName>
    <definedName function="false" hidden="false" name="TAUX_COMMISSION_TTHU" vbProcedure="false">'Legende &amp; Parametres'!$B$29</definedName>
    <definedName function="false" hidden="false" name="TAUX_COSEC" vbProcedure="false">'Legende &amp; Parametres'!$B$21</definedName>
    <definedName function="false" hidden="false" name="TAUX_DD" vbProcedure="false">'Legende &amp; Parametres'!$B$17</definedName>
    <definedName function="false" hidden="false" name="TAUX_MARGE_CIBLE" vbProcedure="false">'Legende &amp; Parametres'!$B$27</definedName>
    <definedName function="false" hidden="false" name="TAUX_PCC" vbProcedure="false">'Legende &amp; Parametres'!$B$20</definedName>
    <definedName function="false" hidden="false" name="TAUX_PCS" vbProcedure="false">'Legende &amp; Parametres'!$B$19</definedName>
    <definedName function="false" hidden="false" name="TAUX_PROMAD" vbProcedure="false">'Legende &amp; Parametres'!$B$22</definedName>
    <definedName function="false" hidden="false" name="TAUX_RS" vbProcedure="false">'Legende &amp; Parametres'!$B$18</definedName>
    <definedName function="false" hidden="false" name="TAUX_TAF" vbProcedure="false">'Legende &amp; Parametres'!$B$32</definedName>
    <definedName function="false" hidden="false" name="TAUX_TVA_DOUANE" vbProcedure="false">'Legende &amp; Parametres'!$B$24</definedName>
    <definedName function="false" hidden="false" name="TAUX_TVA_VENTE" vbProcedure="false">'Legende &amp; Parametres'!$B$25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<sst xmlns="http://schemas.openxmlformats.org/spreadsheetml/2006/main" count="157" uniqueCount="127">
  <si>
    <t xml:space="preserve">Tableau de calcul des prix de revient et des marges - PROTOTYPE</t>
  </si>
  <si>
    <t xml:space="preserve">A partir du modele Excel fourni par Steeve (dossier CONSULTATION 26000/536/537 DN), generalise pour comparer plusieurs offres par article et pour fonctionner sur Appel d'Offres ET Consultation restreinte.</t>
  </si>
  <si>
    <t xml:space="preserve">Legende des couleurs</t>
  </si>
  <si>
    <t xml:space="preserve">Texte bleu</t>
  </si>
  <si>
    <t xml:space="preserve">valeur saisie a la main (hypothese ou donnee d'entree)</t>
  </si>
  <si>
    <t xml:space="preserve">Texte noir</t>
  </si>
  <si>
    <t xml:space="preserve">formule calculee automatiquement, ne pas modifier</t>
  </si>
  <si>
    <t xml:space="preserve">Fond jaune</t>
  </si>
  <si>
    <t xml:space="preserve">cellule que Steeve/l'assistante doit remplir en priorite</t>
  </si>
  <si>
    <t xml:space="preserve">Comment lire ce classeur</t>
  </si>
  <si>
    <t xml:space="preserve">1. "Registre offres partenaires" : on enregistre ici CHAQUE offre recue (fournisseur + prestataire logistique choisi pour cette offre), un article peut avoir plusieurs offres.</t>
  </si>
  <si>
    <t xml:space="preserve">2. "Calcul par offre" : une ligne par offre. On y choisit l'offre dans la liste deroulante (colonne A), tout le reste se calcule automatiquement (achat, douane, transit, marge, frais bancaires).</t>
  </si>
  <si>
    <t xml:space="preserve">3. "Synthese par article" : reprend uniquement l'offre marquee "Retenue = Oui" pour chaque article -&gt; c'est ce qui doit remonter dans le devis.</t>
  </si>
  <si>
    <t xml:space="preserve">4. Les taux ci-dessous (douane, banque...) sont modifiables : si le bareme douanier ou les commissions bancaires changent, on les met a jour ICI et tout le classeur recalcule automatiquement.</t>
  </si>
  <si>
    <t xml:space="preserve">Parametres douane, change et banque</t>
  </si>
  <si>
    <t xml:space="preserve">Parametre</t>
  </si>
  <si>
    <t xml:space="preserve">Valeur</t>
  </si>
  <si>
    <t xml:space="preserve">Note / source</t>
  </si>
  <si>
    <t xml:space="preserve">Droit de Douane (DD)</t>
  </si>
  <si>
    <t xml:space="preserve">Bareme UEMOA/CEDEAO usuel - a confirmer par categorie tarifaire avec le transitaire</t>
  </si>
  <si>
    <t xml:space="preserve">Redevance Statistique (RS)</t>
  </si>
  <si>
    <t xml:space="preserve">Cf. feuille 'Estimation des droits de douane' du modele Steeve</t>
  </si>
  <si>
    <t xml:space="preserve">PCS</t>
  </si>
  <si>
    <t xml:space="preserve">idem</t>
  </si>
  <si>
    <t xml:space="preserve">PCC</t>
  </si>
  <si>
    <t xml:space="preserve">COSEC</t>
  </si>
  <si>
    <t xml:space="preserve">PROMAD (optionnel)</t>
  </si>
  <si>
    <t xml:space="preserve">Present dans 'Determination TG1' mais pas dans le calcul final utilise - laisse a 0%, a activer si applicable a la categorie</t>
  </si>
  <si>
    <t xml:space="preserve">BIC (optionnel)</t>
  </si>
  <si>
    <t xml:space="preserve">idem PROMAD - a activer si applicable</t>
  </si>
  <si>
    <t xml:space="preserve">TVA a l'import</t>
  </si>
  <si>
    <t xml:space="preserve">TVA sur vente (devis/facture)</t>
  </si>
  <si>
    <t xml:space="preserve">Doit rester identique au parametre deja utilise dans Parametres &gt; Ventes de la plateforme</t>
  </si>
  <si>
    <t xml:space="preserve">Taux d'assurance fret (pour valeur en douane)</t>
  </si>
  <si>
    <t xml:space="preserve">Cf. 'Frais d'approche 1' (0,26%) - convention utilisee pour la valeur en douane, pas une prime reellement facturee</t>
  </si>
  <si>
    <t xml:space="preserve">Marge cible par defaut</t>
  </si>
  <si>
    <t xml:space="preserve">Modifiable ligne par ligne dans 'Calcul par offre'</t>
  </si>
  <si>
    <t xml:space="preserve">Parite fixe EUR -&gt; XOF</t>
  </si>
  <si>
    <t xml:space="preserve">Parite fixe FCFA/Euro</t>
  </si>
  <si>
    <t xml:space="preserve">Commission bancaire TTHU</t>
  </si>
  <si>
    <t xml:space="preserve">Cf. feuille 'Marge net' du modele Steeve</t>
  </si>
  <si>
    <t xml:space="preserve">Commission bancaire DBS</t>
  </si>
  <si>
    <t xml:space="preserve">Minimum commission DBS (XOF)</t>
  </si>
  <si>
    <t xml:space="preserve">Taxe sur activites financieres (TAF), sur les commissions</t>
  </si>
  <si>
    <t xml:space="preserve">Frais fixes SWIFT (XOF)</t>
  </si>
  <si>
    <t xml:space="preserve">Timbre (XOF)</t>
  </si>
  <si>
    <t xml:space="preserve">ID offre</t>
  </si>
  <si>
    <t xml:space="preserve">Article</t>
  </si>
  <si>
    <t xml:space="preserve">Fournisseur (marchandise)</t>
  </si>
  <si>
    <t xml:space="preserve">Devise</t>
  </si>
  <si>
    <t xml:space="preserve">Prix unitaire (devise)</t>
  </si>
  <si>
    <t xml:space="preserve">Cours devise (XOF)</t>
  </si>
  <si>
    <t xml:space="preserve">Quantite demandee</t>
  </si>
  <si>
    <t xml:space="preserve">Prestataire logistique (transitaire)</t>
  </si>
  <si>
    <t xml:space="preserve">Fret alloue (XOF)</t>
  </si>
  <si>
    <t xml:space="preserve">Frais de transit / prestations transitaire (XOF)</t>
  </si>
  <si>
    <t xml:space="preserve">Date reception offre</t>
  </si>
  <si>
    <t xml:space="preserve">OF-001</t>
  </si>
  <si>
    <t xml:space="preserve">Onduleur 10 kVA</t>
  </si>
  <si>
    <t xml:space="preserve">PowerTech SARL</t>
  </si>
  <si>
    <t xml:space="preserve">EUR</t>
  </si>
  <si>
    <t xml:space="preserve">SDV Transit</t>
  </si>
  <si>
    <t xml:space="preserve">2026-08-20</t>
  </si>
  <si>
    <t xml:space="preserve">OF-002</t>
  </si>
  <si>
    <t xml:space="preserve">EnerGlobal Ltd</t>
  </si>
  <si>
    <t xml:space="preserve">USD</t>
  </si>
  <si>
    <t xml:space="preserve">Bollore Transit &amp; Logistics</t>
  </si>
  <si>
    <t xml:space="preserve">2026-08-22</t>
  </si>
  <si>
    <t xml:space="preserve">OF-003</t>
  </si>
  <si>
    <t xml:space="preserve">Groupe electrogene 20 kVA</t>
  </si>
  <si>
    <t xml:space="preserve">DieselPower Africa</t>
  </si>
  <si>
    <t xml:space="preserve">2026-08-19</t>
  </si>
  <si>
    <t xml:space="preserve">OF-004</t>
  </si>
  <si>
    <t xml:space="preserve">GenSet International</t>
  </si>
  <si>
    <t xml:space="preserve">Maersk Logistics</t>
  </si>
  <si>
    <t xml:space="preserve">2026-08-23</t>
  </si>
  <si>
    <t xml:space="preserve">Une ligne = une offre recue (fournisseur + transitaire associe). Un meme article peut avoir plusieurs lignes (plusieurs offres a comparer).</t>
  </si>
  <si>
    <t xml:space="preserve">IDENTIFICATION</t>
  </si>
  <si>
    <t xml:space="preserve">ACHAT</t>
  </si>
  <si>
    <t xml:space="preserve">TRANSPORT, ASSURANCE &amp; DOUANE</t>
  </si>
  <si>
    <t xml:space="preserve">COUT DE REVIENT &amp; MARGE CIBLE</t>
  </si>
  <si>
    <t xml:space="preserve">PRIX DE VENTE (DEVIS)</t>
  </si>
  <si>
    <t xml:space="preserve">FRAIS BANCAIRES &amp; CHANGE (paiement fournisseur)</t>
  </si>
  <si>
    <t xml:space="preserve">DECISION</t>
  </si>
  <si>
    <t xml:space="preserve">Fournisseur</t>
  </si>
  <si>
    <t xml:space="preserve">Prix achat unitaire (devise)</t>
  </si>
  <si>
    <t xml:space="preserve">Quantite</t>
  </si>
  <si>
    <t xml:space="preserve">PA unitaire XOF</t>
  </si>
  <si>
    <t xml:space="preserve">PA total XOF</t>
  </si>
  <si>
    <t xml:space="preserve">Fret alloue</t>
  </si>
  <si>
    <t xml:space="preserve">Assurance (val. en douane)</t>
  </si>
  <si>
    <t xml:space="preserve">Valeur en douane (CAF)</t>
  </si>
  <si>
    <t xml:space="preserve">Droit de douane (DD)</t>
  </si>
  <si>
    <t xml:space="preserve">Redevance statist. (RS)</t>
  </si>
  <si>
    <t xml:space="preserve">PCC + COSEC</t>
  </si>
  <si>
    <t xml:space="preserve">Base TVA import</t>
  </si>
  <si>
    <t xml:space="preserve">Total droits &amp; taxes douane</t>
  </si>
  <si>
    <t xml:space="preserve">Frais de transit (transitaire)</t>
  </si>
  <si>
    <t xml:space="preserve">COUT DE REVIENT HT</t>
  </si>
  <si>
    <t xml:space="preserve">Marge cible %</t>
  </si>
  <si>
    <t xml:space="preserve">Marge brute (valeur)</t>
  </si>
  <si>
    <t xml:space="preserve">Prix de vente total HT</t>
  </si>
  <si>
    <t xml:space="preserve">Prix unitaire HT</t>
  </si>
  <si>
    <t xml:space="preserve">Prix unitaire arrondi</t>
  </si>
  <si>
    <t xml:space="preserve">Montant total arrondi HT</t>
  </si>
  <si>
    <t xml:space="preserve">TVA vente (18%)</t>
  </si>
  <si>
    <t xml:space="preserve">TOTAL TTC</t>
  </si>
  <si>
    <t xml:space="preserve">Montant a transferer fournisseur (XOF)</t>
  </si>
  <si>
    <t xml:space="preserve">Commission TTHU</t>
  </si>
  <si>
    <t xml:space="preserve">Commission DBS</t>
  </si>
  <si>
    <t xml:space="preserve">TAF / DBS</t>
  </si>
  <si>
    <t xml:space="preserve">SWIFT</t>
  </si>
  <si>
    <t xml:space="preserve">TAF / SWIFT</t>
  </si>
  <si>
    <t xml:space="preserve">Timbre</t>
  </si>
  <si>
    <t xml:space="preserve">TOTAL frais bancaires &amp; change</t>
  </si>
  <si>
    <t xml:space="preserve">MARGE NETTE REELLE (valeur)</t>
  </si>
  <si>
    <t xml:space="preserve">Marge nette reelle (%)</t>
  </si>
  <si>
    <t xml:space="preserve">Retenue ?</t>
  </si>
  <si>
    <t xml:space="preserve">(cle si retenue)</t>
  </si>
  <si>
    <t xml:space="preserve">Non</t>
  </si>
  <si>
    <t xml:space="preserve">Oui</t>
  </si>
  <si>
    <t xml:space="preserve">Fournisseur retenu</t>
  </si>
  <si>
    <t xml:space="preserve">Prix unitaire arrondi HT</t>
  </si>
  <si>
    <t xml:space="preserve">Montant total HT</t>
  </si>
  <si>
    <t xml:space="preserve">TVA (18%)</t>
  </si>
  <si>
    <t xml:space="preserve">Marge nette reelle</t>
  </si>
  <si>
    <t xml:space="preserve">Pour qu'un article apparaisse ici, il faut qu'une de ses offres, dans "Calcul par offre", ait "Retenue" = Oui. Cette liste (colonne A) doit reprendre exactement les articles du devis en cours.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</si>
</sst>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0.00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6425B"/>
      <name val="Arial"/>
      <family val="0"/>
      <charset val="1"/>
    </font>
    <font>
      <i val="true"/>
      <sz val="10"/>
      <color rgb="FF5B6A6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A6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6425B"/>
        <bgColor rgb="FF333333"/>
      </patternFill>
    </fill>
    <fill>
      <patternFill patternType="solid">
        <fgColor rgb="FF8DB4C7"/>
        <bgColor rgb="FF7FA98C"/>
      </patternFill>
    </fill>
    <fill>
      <patternFill patternType="solid">
        <fgColor rgb="FFC9A66B"/>
        <bgColor rgb="FFA9B87B"/>
      </patternFill>
    </fill>
    <fill>
      <patternFill patternType="solid">
        <fgColor rgb="FFA9B87B"/>
        <bgColor rgb="FFC9A66B"/>
      </patternFill>
    </fill>
    <fill>
      <patternFill patternType="solid">
        <fgColor rgb="FF7FA98C"/>
        <bgColor rgb="FF8DB4C7"/>
      </patternFill>
    </fill>
    <fill>
      <patternFill patternType="solid">
        <fgColor rgb="FFC4746A"/>
        <bgColor rgb="FF9B8AA6"/>
      </patternFill>
    </fill>
    <fill>
      <patternFill patternType="solid">
        <fgColor rgb="FF9B8AA6"/>
        <bgColor rgb="FF7FA9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B87B"/>
      <rgbColor rgb="FF7FA98C"/>
      <rgbColor rgb="FF9999FF"/>
      <rgbColor rgb="FF993366"/>
      <rgbColor rgb="FFFFFFCC"/>
      <rgbColor rgb="FFCCFFFF"/>
      <rgbColor rgb="FF660066"/>
      <rgbColor rgb="FFC4746A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DB4C7"/>
      <rgbColor rgb="FFC9A66B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6A6C"/>
      <rgbColor rgb="FF9B8AA6"/>
      <rgbColor rgb="FF1642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6"/>
    </row>
    <row r="6" customFormat="false" ht="15" hidden="false" customHeight="true" outlineLevel="0" collapsed="false">
      <c r="A6" s="7" t="s">
        <v>5</v>
      </c>
      <c r="B6" s="6" t="s">
        <v>6</v>
      </c>
      <c r="C6" s="6"/>
    </row>
    <row r="7" customFormat="false" ht="15" hidden="false" customHeight="true" outlineLevel="0" collapsed="false">
      <c r="A7" s="8" t="s">
        <v>7</v>
      </c>
      <c r="B7" s="6" t="s">
        <v>8</v>
      </c>
      <c r="C7" s="6"/>
    </row>
    <row r="9" customFormat="false" ht="15" hidden="false" customHeight="true" outlineLevel="0" collapsed="false">
      <c r="A9" s="4" t="s">
        <v>9</v>
      </c>
    </row>
    <row r="10" customFormat="false" ht="27.75" hidden="false" customHeight="true" outlineLevel="0" collapsed="false">
      <c r="A10" s="3" t="s">
        <v>10</v>
      </c>
      <c r="B10" s="3"/>
      <c r="C10" s="3"/>
    </row>
    <row r="11" customFormat="false" ht="27.75" hidden="false" customHeight="true" outlineLevel="0" collapsed="false">
      <c r="A11" s="3" t="s">
        <v>11</v>
      </c>
      <c r="B11" s="3"/>
      <c r="C11" s="3"/>
    </row>
    <row r="12" customFormat="false" ht="27.75" hidden="false" customHeight="true" outlineLevel="0" collapsed="false">
      <c r="A12" s="3" t="s">
        <v>12</v>
      </c>
      <c r="B12" s="3"/>
      <c r="C12" s="3"/>
    </row>
    <row r="13" customFormat="false" ht="27.75" hidden="false" customHeight="true" outlineLevel="0" collapsed="false">
      <c r="A13" s="3" t="s">
        <v>13</v>
      </c>
      <c r="B13" s="3"/>
      <c r="C13" s="3"/>
    </row>
    <row r="15" customFormat="false" ht="15" hidden="false" customHeight="true" outlineLevel="0" collapsed="false">
      <c r="A15" s="4" t="s">
        <v>14</v>
      </c>
    </row>
    <row r="16" customFormat="false" ht="15" hidden="false" customHeight="true" outlineLevel="0" collapsed="false">
      <c r="A16" s="9" t="s">
        <v>15</v>
      </c>
      <c r="B16" s="9" t="s">
        <v>16</v>
      </c>
      <c r="C16" s="9" t="s">
        <v>17</v>
      </c>
    </row>
    <row r="17" customFormat="false" ht="15" hidden="false" customHeight="true" outlineLevel="0" collapsed="false">
      <c r="A17" s="10" t="s">
        <v>18</v>
      </c>
      <c r="B17" s="11" t="n">
        <v>0.2</v>
      </c>
      <c r="C17" s="12" t="s">
        <v>19</v>
      </c>
    </row>
    <row r="18" customFormat="false" ht="15" hidden="false" customHeight="true" outlineLevel="0" collapsed="false">
      <c r="A18" s="10" t="s">
        <v>20</v>
      </c>
      <c r="B18" s="11" t="n">
        <v>0.01</v>
      </c>
      <c r="C18" s="12" t="s">
        <v>21</v>
      </c>
    </row>
    <row r="19" customFormat="false" ht="15" hidden="false" customHeight="true" outlineLevel="0" collapsed="false">
      <c r="A19" s="10" t="s">
        <v>22</v>
      </c>
      <c r="B19" s="11" t="n">
        <v>0.01</v>
      </c>
      <c r="C19" s="12" t="s">
        <v>23</v>
      </c>
    </row>
    <row r="20" customFormat="false" ht="15" hidden="false" customHeight="true" outlineLevel="0" collapsed="false">
      <c r="A20" s="10" t="s">
        <v>24</v>
      </c>
      <c r="B20" s="11" t="n">
        <v>0.005</v>
      </c>
      <c r="C20" s="12" t="s">
        <v>23</v>
      </c>
    </row>
    <row r="21" customFormat="false" ht="15" hidden="false" customHeight="true" outlineLevel="0" collapsed="false">
      <c r="A21" s="10" t="s">
        <v>25</v>
      </c>
      <c r="B21" s="11" t="n">
        <v>0.004</v>
      </c>
      <c r="C21" s="12" t="s">
        <v>23</v>
      </c>
    </row>
    <row r="22" customFormat="false" ht="15" hidden="false" customHeight="true" outlineLevel="0" collapsed="false">
      <c r="A22" s="10" t="s">
        <v>26</v>
      </c>
      <c r="B22" s="13" t="n">
        <v>0</v>
      </c>
      <c r="C22" s="12" t="s">
        <v>27</v>
      </c>
    </row>
    <row r="23" customFormat="false" ht="15" hidden="false" customHeight="true" outlineLevel="0" collapsed="false">
      <c r="A23" s="10" t="s">
        <v>28</v>
      </c>
      <c r="B23" s="13" t="n">
        <v>0</v>
      </c>
      <c r="C23" s="12" t="s">
        <v>29</v>
      </c>
    </row>
    <row r="24" customFormat="false" ht="15" hidden="false" customHeight="true" outlineLevel="0" collapsed="false">
      <c r="A24" s="10" t="s">
        <v>30</v>
      </c>
      <c r="B24" s="11" t="n">
        <v>0.18</v>
      </c>
      <c r="C24" s="12"/>
    </row>
    <row r="25" customFormat="false" ht="15" hidden="false" customHeight="true" outlineLevel="0" collapsed="false">
      <c r="A25" s="10" t="s">
        <v>31</v>
      </c>
      <c r="B25" s="11" t="n">
        <v>0.18</v>
      </c>
      <c r="C25" s="12" t="s">
        <v>32</v>
      </c>
    </row>
    <row r="26" customFormat="false" ht="15" hidden="false" customHeight="true" outlineLevel="0" collapsed="false">
      <c r="A26" s="10" t="s">
        <v>33</v>
      </c>
      <c r="B26" s="11" t="n">
        <v>0.0026</v>
      </c>
      <c r="C26" s="12" t="s">
        <v>34</v>
      </c>
    </row>
    <row r="27" customFormat="false" ht="15" hidden="false" customHeight="true" outlineLevel="0" collapsed="false">
      <c r="A27" s="10" t="s">
        <v>35</v>
      </c>
      <c r="B27" s="11" t="n">
        <v>0.25</v>
      </c>
      <c r="C27" s="12" t="s">
        <v>36</v>
      </c>
    </row>
    <row r="28" customFormat="false" ht="15" hidden="false" customHeight="true" outlineLevel="0" collapsed="false">
      <c r="A28" s="10" t="s">
        <v>37</v>
      </c>
      <c r="B28" s="14" t="n">
        <v>655.957</v>
      </c>
      <c r="C28" s="12" t="s">
        <v>38</v>
      </c>
    </row>
    <row r="29" customFormat="false" ht="15" hidden="false" customHeight="true" outlineLevel="0" collapsed="false">
      <c r="A29" s="10" t="s">
        <v>39</v>
      </c>
      <c r="B29" s="11" t="n">
        <v>0.006</v>
      </c>
      <c r="C29" s="12" t="s">
        <v>40</v>
      </c>
    </row>
    <row r="30" customFormat="false" ht="15" hidden="false" customHeight="true" outlineLevel="0" collapsed="false">
      <c r="A30" s="10" t="s">
        <v>41</v>
      </c>
      <c r="B30" s="11" t="n">
        <v>0.006</v>
      </c>
      <c r="C30" s="12" t="s">
        <v>23</v>
      </c>
    </row>
    <row r="31" customFormat="false" ht="15" hidden="false" customHeight="true" outlineLevel="0" collapsed="false">
      <c r="A31" s="10" t="s">
        <v>42</v>
      </c>
      <c r="B31" s="13" t="n">
        <v>25000</v>
      </c>
      <c r="C31" s="12" t="s">
        <v>23</v>
      </c>
    </row>
    <row r="32" customFormat="false" ht="15" hidden="false" customHeight="true" outlineLevel="0" collapsed="false">
      <c r="A32" s="10" t="s">
        <v>43</v>
      </c>
      <c r="B32" s="11" t="n">
        <v>0.17</v>
      </c>
      <c r="C32" s="12" t="s">
        <v>23</v>
      </c>
    </row>
    <row r="33" customFormat="false" ht="15" hidden="false" customHeight="true" outlineLevel="0" collapsed="false">
      <c r="A33" s="10" t="s">
        <v>44</v>
      </c>
      <c r="B33" s="13" t="n">
        <v>10000</v>
      </c>
      <c r="C33" s="12" t="s">
        <v>23</v>
      </c>
    </row>
    <row r="34" customFormat="false" ht="15" hidden="false" customHeight="true" outlineLevel="0" collapsed="false">
      <c r="A34" s="10" t="s">
        <v>45</v>
      </c>
      <c r="B34" s="13" t="n">
        <v>20000</v>
      </c>
      <c r="C34" s="12" t="s">
        <v>23</v>
      </c>
    </row>
  </sheetData>
  <mergeCells count="8">
    <mergeCell ref="A2:C2"/>
    <mergeCell ref="B5:C5"/>
    <mergeCell ref="B6:C6"/>
    <mergeCell ref="B7:C7"/>
    <mergeCell ref="A10:C10"/>
    <mergeCell ref="A11:C11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26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16"/>
  </cols>
  <sheetData>
    <row r="1" customFormat="false" ht="30" hidden="false" customHeight="true" outlineLevel="0" collapsed="false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 t="s">
        <v>55</v>
      </c>
      <c r="K1" s="15" t="s">
        <v>56</v>
      </c>
    </row>
    <row r="2" customFormat="false" ht="15" hidden="false" customHeight="true" outlineLevel="0" collapsed="false">
      <c r="A2" s="16" t="s">
        <v>57</v>
      </c>
      <c r="B2" s="16" t="s">
        <v>58</v>
      </c>
      <c r="C2" s="16" t="s">
        <v>59</v>
      </c>
      <c r="D2" s="16" t="s">
        <v>60</v>
      </c>
      <c r="E2" s="17" t="n">
        <v>850</v>
      </c>
      <c r="F2" s="18" t="n">
        <f aca="false">TAUX_CHANGE_EUR</f>
        <v>655.957</v>
      </c>
      <c r="G2" s="17" t="n">
        <v>5</v>
      </c>
      <c r="H2" s="16" t="s">
        <v>61</v>
      </c>
      <c r="I2" s="17" t="n">
        <v>450000</v>
      </c>
      <c r="J2" s="17" t="n">
        <v>380000</v>
      </c>
      <c r="K2" s="16" t="s">
        <v>62</v>
      </c>
    </row>
    <row r="3" customFormat="false" ht="15" hidden="false" customHeight="true" outlineLevel="0" collapsed="false">
      <c r="A3" s="16" t="s">
        <v>63</v>
      </c>
      <c r="B3" s="16" t="s">
        <v>58</v>
      </c>
      <c r="C3" s="16" t="s">
        <v>64</v>
      </c>
      <c r="D3" s="16" t="s">
        <v>65</v>
      </c>
      <c r="E3" s="17" t="n">
        <v>900</v>
      </c>
      <c r="F3" s="19" t="n">
        <v>610</v>
      </c>
      <c r="G3" s="17" t="n">
        <v>5</v>
      </c>
      <c r="H3" s="16" t="s">
        <v>66</v>
      </c>
      <c r="I3" s="17" t="n">
        <v>500000</v>
      </c>
      <c r="J3" s="17" t="n">
        <v>420000</v>
      </c>
      <c r="K3" s="16" t="s">
        <v>67</v>
      </c>
    </row>
    <row r="4" customFormat="false" ht="15" hidden="false" customHeight="true" outlineLevel="0" collapsed="false">
      <c r="A4" s="16" t="s">
        <v>68</v>
      </c>
      <c r="B4" s="16" t="s">
        <v>69</v>
      </c>
      <c r="C4" s="16" t="s">
        <v>70</v>
      </c>
      <c r="D4" s="16" t="s">
        <v>60</v>
      </c>
      <c r="E4" s="17" t="n">
        <v>3200</v>
      </c>
      <c r="F4" s="18" t="n">
        <f aca="false">TAUX_CHANGE_EUR</f>
        <v>655.957</v>
      </c>
      <c r="G4" s="17" t="n">
        <v>2</v>
      </c>
      <c r="H4" s="16" t="s">
        <v>61</v>
      </c>
      <c r="I4" s="17" t="n">
        <v>600000</v>
      </c>
      <c r="J4" s="17" t="n">
        <v>350000</v>
      </c>
      <c r="K4" s="16" t="s">
        <v>71</v>
      </c>
    </row>
    <row r="5" customFormat="false" ht="15" hidden="false" customHeight="true" outlineLevel="0" collapsed="false">
      <c r="A5" s="16" t="s">
        <v>72</v>
      </c>
      <c r="B5" s="16" t="s">
        <v>69</v>
      </c>
      <c r="C5" s="16" t="s">
        <v>73</v>
      </c>
      <c r="D5" s="16" t="s">
        <v>65</v>
      </c>
      <c r="E5" s="17" t="n">
        <v>3450</v>
      </c>
      <c r="F5" s="19" t="n">
        <v>610</v>
      </c>
      <c r="G5" s="17" t="n">
        <v>2</v>
      </c>
      <c r="H5" s="16" t="s">
        <v>74</v>
      </c>
      <c r="I5" s="17" t="n">
        <v>650000</v>
      </c>
      <c r="J5" s="17" t="n">
        <v>400000</v>
      </c>
      <c r="K5" s="16" t="s">
        <v>75</v>
      </c>
    </row>
    <row r="7" customFormat="false" ht="15" hidden="false" customHeight="true" outlineLevel="0" collapsed="false">
      <c r="A7" s="20" t="s">
        <v>76</v>
      </c>
      <c r="B7" s="20"/>
      <c r="C7" s="20"/>
      <c r="D7" s="20"/>
      <c r="E7" s="20"/>
      <c r="F7" s="20"/>
    </row>
  </sheetData>
  <mergeCells count="1"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4" min="13" style="1" width="12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7" min="17" style="1" width="13"/>
    <col collapsed="false" customWidth="true" hidden="false" outlineLevel="0" max="18" min="18" style="1" width="12"/>
    <col collapsed="false" customWidth="true" hidden="false" outlineLevel="0" max="21" min="19" style="1" width="14"/>
    <col collapsed="false" customWidth="true" hidden="false" outlineLevel="0" max="22" min="22" style="1" width="11"/>
    <col collapsed="false" customWidth="true" hidden="false" outlineLevel="0" max="23" min="23" style="1" width="13"/>
    <col collapsed="false" customWidth="true" hidden="false" outlineLevel="0" max="24" min="24" style="1" width="14"/>
    <col collapsed="false" customWidth="true" hidden="false" outlineLevel="0" max="26" min="25" style="1" width="12"/>
    <col collapsed="false" customWidth="true" hidden="false" outlineLevel="0" max="27" min="27" style="1" width="14"/>
    <col collapsed="false" customWidth="true" hidden="false" outlineLevel="0" max="28" min="28" style="1" width="12"/>
    <col collapsed="false" customWidth="true" hidden="false" outlineLevel="0" max="29" min="29" style="1" width="13"/>
    <col collapsed="false" customWidth="true" hidden="false" outlineLevel="0" max="30" min="30" style="1" width="16"/>
    <col collapsed="false" customWidth="true" hidden="false" outlineLevel="0" max="32" min="31" style="1" width="11"/>
    <col collapsed="false" customWidth="true" hidden="false" outlineLevel="0" max="33" min="33" style="1" width="10"/>
    <col collapsed="false" customWidth="true" hidden="false" outlineLevel="0" max="34" min="34" style="1" width="9"/>
    <col collapsed="false" customWidth="true" hidden="false" outlineLevel="0" max="35" min="35" style="1" width="10"/>
    <col collapsed="false" customWidth="true" hidden="false" outlineLevel="0" max="36" min="36" style="1" width="9"/>
    <col collapsed="false" customWidth="true" hidden="false" outlineLevel="0" max="37" min="37" style="1" width="16"/>
    <col collapsed="false" customWidth="true" hidden="false" outlineLevel="0" max="38" min="38" style="1" width="15"/>
    <col collapsed="false" customWidth="true" hidden="false" outlineLevel="0" max="39" min="39" style="1" width="12"/>
    <col collapsed="false" customWidth="true" hidden="false" outlineLevel="0" max="40" min="40" style="1" width="9"/>
    <col collapsed="false" customWidth="true" hidden="false" outlineLevel="0" max="41" min="41" style="1" width="10"/>
  </cols>
  <sheetData>
    <row r="1" customFormat="false" ht="18" hidden="false" customHeight="true" outlineLevel="0" collapsed="false">
      <c r="A1" s="21" t="s">
        <v>77</v>
      </c>
      <c r="B1" s="21"/>
      <c r="C1" s="21"/>
      <c r="D1" s="21"/>
      <c r="E1" s="22" t="s">
        <v>78</v>
      </c>
      <c r="F1" s="22"/>
      <c r="G1" s="22"/>
      <c r="H1" s="22"/>
      <c r="I1" s="22"/>
      <c r="J1" s="23" t="s">
        <v>79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4" t="s">
        <v>80</v>
      </c>
      <c r="V1" s="24"/>
      <c r="W1" s="24"/>
      <c r="X1" s="24"/>
      <c r="Y1" s="25" t="s">
        <v>81</v>
      </c>
      <c r="Z1" s="25"/>
      <c r="AA1" s="25"/>
      <c r="AB1" s="25"/>
      <c r="AC1" s="25"/>
      <c r="AD1" s="26" t="s">
        <v>82</v>
      </c>
      <c r="AE1" s="26"/>
      <c r="AF1" s="26"/>
      <c r="AG1" s="26"/>
      <c r="AH1" s="26"/>
      <c r="AI1" s="26"/>
      <c r="AJ1" s="26"/>
      <c r="AK1" s="26"/>
      <c r="AL1" s="27" t="s">
        <v>83</v>
      </c>
      <c r="AM1" s="27"/>
      <c r="AN1" s="27"/>
      <c r="AO1" s="27"/>
    </row>
    <row r="2" customFormat="false" ht="42" hidden="false" customHeight="true" outlineLevel="0" collapsed="false">
      <c r="A2" s="28" t="s">
        <v>46</v>
      </c>
      <c r="B2" s="28" t="s">
        <v>47</v>
      </c>
      <c r="C2" s="28" t="s">
        <v>84</v>
      </c>
      <c r="D2" s="28" t="s">
        <v>49</v>
      </c>
      <c r="E2" s="28" t="s">
        <v>85</v>
      </c>
      <c r="F2" s="28" t="s">
        <v>51</v>
      </c>
      <c r="G2" s="28" t="s">
        <v>86</v>
      </c>
      <c r="H2" s="28" t="s">
        <v>87</v>
      </c>
      <c r="I2" s="28" t="s">
        <v>88</v>
      </c>
      <c r="J2" s="28" t="s">
        <v>89</v>
      </c>
      <c r="K2" s="28" t="s">
        <v>90</v>
      </c>
      <c r="L2" s="28" t="s">
        <v>91</v>
      </c>
      <c r="M2" s="28" t="s">
        <v>92</v>
      </c>
      <c r="N2" s="28" t="s">
        <v>93</v>
      </c>
      <c r="O2" s="28" t="s">
        <v>22</v>
      </c>
      <c r="P2" s="28" t="s">
        <v>94</v>
      </c>
      <c r="Q2" s="28" t="s">
        <v>95</v>
      </c>
      <c r="R2" s="28" t="s">
        <v>30</v>
      </c>
      <c r="S2" s="28" t="s">
        <v>96</v>
      </c>
      <c r="T2" s="28" t="s">
        <v>97</v>
      </c>
      <c r="U2" s="28" t="s">
        <v>98</v>
      </c>
      <c r="V2" s="28" t="s">
        <v>99</v>
      </c>
      <c r="W2" s="28" t="s">
        <v>100</v>
      </c>
      <c r="X2" s="28" t="s">
        <v>101</v>
      </c>
      <c r="Y2" s="28" t="s">
        <v>102</v>
      </c>
      <c r="Z2" s="28" t="s">
        <v>103</v>
      </c>
      <c r="AA2" s="28" t="s">
        <v>104</v>
      </c>
      <c r="AB2" s="28" t="s">
        <v>105</v>
      </c>
      <c r="AC2" s="28" t="s">
        <v>106</v>
      </c>
      <c r="AD2" s="28" t="s">
        <v>107</v>
      </c>
      <c r="AE2" s="28" t="s">
        <v>108</v>
      </c>
      <c r="AF2" s="28" t="s">
        <v>109</v>
      </c>
      <c r="AG2" s="28" t="s">
        <v>110</v>
      </c>
      <c r="AH2" s="28" t="s">
        <v>111</v>
      </c>
      <c r="AI2" s="28" t="s">
        <v>112</v>
      </c>
      <c r="AJ2" s="28" t="s">
        <v>113</v>
      </c>
      <c r="AK2" s="28" t="s">
        <v>114</v>
      </c>
      <c r="AL2" s="28" t="s">
        <v>115</v>
      </c>
      <c r="AM2" s="28" t="s">
        <v>116</v>
      </c>
      <c r="AN2" s="28" t="s">
        <v>117</v>
      </c>
      <c r="AO2" s="28" t="s">
        <v>118</v>
      </c>
    </row>
    <row r="3" customFormat="false" ht="15" hidden="false" customHeight="true" outlineLevel="0" collapsed="false">
      <c r="A3" s="29" t="s">
        <v>57</v>
      </c>
      <c r="B3" s="30" t="str">
        <f aca="false">IFERROR(INDEX('Registre offres partenaires'!$B:$B,MATCH($A3,'Registre offres partenaires'!$A:$A,0)),"")</f>
        <v>Onduleur 10 kVA</v>
      </c>
      <c r="C3" s="30" t="str">
        <f aca="false">IFERROR(INDEX('Registre offres partenaires'!$C:$C,MATCH($A3,'Registre offres partenaires'!$A:$A,0)),"")</f>
        <v>PowerTech SARL</v>
      </c>
      <c r="D3" s="30" t="str">
        <f aca="false">IFERROR(INDEX('Registre offres partenaires'!$D:$D,MATCH($A3,'Registre offres partenaires'!$A:$A,0)),"")</f>
        <v>EUR</v>
      </c>
      <c r="E3" s="31" t="n">
        <f aca="false">IFERROR(INDEX('Registre offres partenaires'!$E:$E,MATCH($A3,'Registre offres partenaires'!$A:$A,0)),"")</f>
        <v>850</v>
      </c>
      <c r="F3" s="32" t="n">
        <f aca="false">IFERROR(INDEX('Registre offres partenaires'!$F:$F,MATCH($A3,'Registre offres partenaires'!$A:$A,0)),"")</f>
        <v>655.957</v>
      </c>
      <c r="G3" s="33" t="n">
        <f aca="false">IFERROR(INDEX('Registre offres partenaires'!$G:$G,MATCH($A3,'Registre offres partenaires'!$A:$A,0)),"")</f>
        <v>5</v>
      </c>
      <c r="H3" s="31" t="n">
        <f aca="false">IFERROR(E3*F3,"")</f>
        <v>557563.45</v>
      </c>
      <c r="I3" s="31" t="n">
        <f aca="false">IFERROR(H3*G3,"")</f>
        <v>2787817.25</v>
      </c>
      <c r="J3" s="31" t="n">
        <f aca="false">IFERROR(INDEX('Registre offres partenaires'!$I:$I,MATCH($A3,'Registre offres partenaires'!$A:$A,0)),"")</f>
        <v>450000</v>
      </c>
      <c r="K3" s="31" t="n">
        <f aca="false">IFERROR(TAUX_ASSURANCE*(I3+J3),"")</f>
        <v>8418.32485</v>
      </c>
      <c r="L3" s="31" t="n">
        <f aca="false">IFERROR(I3+J3+K3,"")</f>
        <v>3246235.57485</v>
      </c>
      <c r="M3" s="31" t="n">
        <f aca="false">IFERROR(L3*TAUX_DD,"")</f>
        <v>649247.11497</v>
      </c>
      <c r="N3" s="31" t="n">
        <f aca="false">IFERROR(L3*TAUX_RS,"")</f>
        <v>32462.3557485</v>
      </c>
      <c r="O3" s="31" t="n">
        <f aca="false">IFERROR(L3*TAUX_PCS,"")</f>
        <v>32462.3557485</v>
      </c>
      <c r="P3" s="31" t="n">
        <f aca="false">IFERROR(L3*(TAUX_PCC+TAUX_COSEC),"")</f>
        <v>29216.12017365</v>
      </c>
      <c r="Q3" s="31" t="n">
        <f aca="false">IFERROR(L3+M3+N3+O3+P3,"")</f>
        <v>3989623.52149065</v>
      </c>
      <c r="R3" s="31" t="n">
        <f aca="false">IFERROR(Q3*TAUX_TVA_DOUANE,"")</f>
        <v>718132.233868317</v>
      </c>
      <c r="S3" s="31" t="n">
        <f aca="false">IFERROR(M3+N3+O3+P3+R3,"")</f>
        <v>1461520.18050897</v>
      </c>
      <c r="T3" s="31" t="n">
        <f aca="false">IFERROR(INDEX('Registre offres partenaires'!$J:$J,MATCH($A3,'Registre offres partenaires'!$A:$A,0)),"")</f>
        <v>380000</v>
      </c>
      <c r="U3" s="31" t="n">
        <f aca="false">IFERROR(I3+J3+S3+T3,"")</f>
        <v>5079337.43050897</v>
      </c>
      <c r="V3" s="34" t="n">
        <f aca="false">TAUX_MARGE_CIBLE</f>
        <v>0.25</v>
      </c>
      <c r="W3" s="31" t="n">
        <f aca="false">IFERROR(U3*V3,"")</f>
        <v>1269834.35762724</v>
      </c>
      <c r="X3" s="31" t="n">
        <f aca="false">IFERROR(U3+W3,"")</f>
        <v>6349171.78813621</v>
      </c>
      <c r="Y3" s="31" t="n">
        <f aca="false">IFERROR(X3/G3,"")</f>
        <v>1269834.35762724</v>
      </c>
      <c r="Z3" s="31" t="n">
        <f aca="false">IFERROR(ROUNDUP(Y3,-2),"")</f>
        <v>1269900</v>
      </c>
      <c r="AA3" s="31" t="n">
        <f aca="false">IFERROR(Z3*G3,"")</f>
        <v>6349500</v>
      </c>
      <c r="AB3" s="31" t="n">
        <f aca="false">IFERROR(AA3*TAUX_TVA_VENTE,"")</f>
        <v>1142910</v>
      </c>
      <c r="AC3" s="31" t="n">
        <f aca="false">IFERROR(AA3+AB3,"")</f>
        <v>7492410</v>
      </c>
      <c r="AD3" s="31" t="n">
        <f aca="false">IFERROR(I3,"")</f>
        <v>2787817.25</v>
      </c>
      <c r="AE3" s="31" t="n">
        <f aca="false">IFERROR(AD3*TAUX_COMMISSION_TTHU,"")</f>
        <v>16726.9035</v>
      </c>
      <c r="AF3" s="31" t="n">
        <f aca="false">IFERROR(MAX(AD3*TAUX_COMMISSION_DBS,COMMISSION_DBS_MIN),"")</f>
        <v>25000</v>
      </c>
      <c r="AG3" s="31" t="n">
        <f aca="false">IFERROR(AF3*TAUX_TAF,"")</f>
        <v>4250</v>
      </c>
      <c r="AH3" s="31" t="n">
        <f aca="false">FORFAIT_SWIFT</f>
        <v>10000</v>
      </c>
      <c r="AI3" s="31" t="n">
        <f aca="false">IFERROR(AH3*TAUX_TAF,"")</f>
        <v>1700</v>
      </c>
      <c r="AJ3" s="31" t="n">
        <f aca="false">FORFAIT_TIMBRE</f>
        <v>20000</v>
      </c>
      <c r="AK3" s="31" t="n">
        <f aca="false">IFERROR(SUM(AE3:AJ3),"")</f>
        <v>77676.9035</v>
      </c>
      <c r="AL3" s="31" t="n">
        <f aca="false">IFERROR(W3-AK3,"")</f>
        <v>1192157.45412724</v>
      </c>
      <c r="AM3" s="35" t="n">
        <f aca="false">IFERROR(AL3/U3,"")</f>
        <v>0.234707276379507</v>
      </c>
      <c r="AN3" s="29" t="s">
        <v>119</v>
      </c>
      <c r="AO3" s="30" t="str">
        <f aca="false">IF(AN3="Oui",B3,"")</f>
        <v/>
      </c>
    </row>
    <row r="4" customFormat="false" ht="15" hidden="false" customHeight="true" outlineLevel="0" collapsed="false">
      <c r="A4" s="29" t="s">
        <v>63</v>
      </c>
      <c r="B4" s="30" t="str">
        <f aca="false">IFERROR(INDEX('Registre offres partenaires'!$B:$B,MATCH($A4,'Registre offres partenaires'!$A:$A,0)),"")</f>
        <v>Onduleur 10 kVA</v>
      </c>
      <c r="C4" s="30" t="str">
        <f aca="false">IFERROR(INDEX('Registre offres partenaires'!$C:$C,MATCH($A4,'Registre offres partenaires'!$A:$A,0)),"")</f>
        <v>EnerGlobal Ltd</v>
      </c>
      <c r="D4" s="30" t="str">
        <f aca="false">IFERROR(INDEX('Registre offres partenaires'!$D:$D,MATCH($A4,'Registre offres partenaires'!$A:$A,0)),"")</f>
        <v>USD</v>
      </c>
      <c r="E4" s="31" t="n">
        <f aca="false">IFERROR(INDEX('Registre offres partenaires'!$E:$E,MATCH($A4,'Registre offres partenaires'!$A:$A,0)),"")</f>
        <v>900</v>
      </c>
      <c r="F4" s="32" t="n">
        <f aca="false">IFERROR(INDEX('Registre offres partenaires'!$F:$F,MATCH($A4,'Registre offres partenaires'!$A:$A,0)),"")</f>
        <v>610</v>
      </c>
      <c r="G4" s="33" t="n">
        <f aca="false">IFERROR(INDEX('Registre offres partenaires'!$G:$G,MATCH($A4,'Registre offres partenaires'!$A:$A,0)),"")</f>
        <v>5</v>
      </c>
      <c r="H4" s="31" t="n">
        <f aca="false">IFERROR(E4*F4,"")</f>
        <v>549000</v>
      </c>
      <c r="I4" s="31" t="n">
        <f aca="false">IFERROR(H4*G4,"")</f>
        <v>2745000</v>
      </c>
      <c r="J4" s="31" t="n">
        <f aca="false">IFERROR(INDEX('Registre offres partenaires'!$I:$I,MATCH($A4,'Registre offres partenaires'!$A:$A,0)),"")</f>
        <v>500000</v>
      </c>
      <c r="K4" s="31" t="n">
        <f aca="false">IFERROR(TAUX_ASSURANCE*(I4+J4),"")</f>
        <v>8437</v>
      </c>
      <c r="L4" s="31" t="n">
        <f aca="false">IFERROR(I4+J4+K4,"")</f>
        <v>3253437</v>
      </c>
      <c r="M4" s="31" t="n">
        <f aca="false">IFERROR(L4*TAUX_DD,"")</f>
        <v>650687.4</v>
      </c>
      <c r="N4" s="31" t="n">
        <f aca="false">IFERROR(L4*TAUX_RS,"")</f>
        <v>32534.37</v>
      </c>
      <c r="O4" s="31" t="n">
        <f aca="false">IFERROR(L4*TAUX_PCS,"")</f>
        <v>32534.37</v>
      </c>
      <c r="P4" s="31" t="n">
        <f aca="false">IFERROR(L4*(TAUX_PCC+TAUX_COSEC),"")</f>
        <v>29280.933</v>
      </c>
      <c r="Q4" s="31" t="n">
        <f aca="false">IFERROR(L4+M4+N4+O4+P4,"")</f>
        <v>3998474.073</v>
      </c>
      <c r="R4" s="31" t="n">
        <f aca="false">IFERROR(Q4*TAUX_TVA_DOUANE,"")</f>
        <v>719725.33314</v>
      </c>
      <c r="S4" s="31" t="n">
        <f aca="false">IFERROR(M4+N4+O4+P4+R4,"")</f>
        <v>1464762.40614</v>
      </c>
      <c r="T4" s="31" t="n">
        <f aca="false">IFERROR(INDEX('Registre offres partenaires'!$J:$J,MATCH($A4,'Registre offres partenaires'!$A:$A,0)),"")</f>
        <v>420000</v>
      </c>
      <c r="U4" s="31" t="n">
        <f aca="false">IFERROR(I4+J4+S4+T4,"")</f>
        <v>5129762.40614</v>
      </c>
      <c r="V4" s="34" t="n">
        <f aca="false">TAUX_MARGE_CIBLE</f>
        <v>0.25</v>
      </c>
      <c r="W4" s="31" t="n">
        <f aca="false">IFERROR(U4*V4,"")</f>
        <v>1282440.601535</v>
      </c>
      <c r="X4" s="31" t="n">
        <f aca="false">IFERROR(U4+W4,"")</f>
        <v>6412203.007675</v>
      </c>
      <c r="Y4" s="31" t="n">
        <f aca="false">IFERROR(X4/G4,"")</f>
        <v>1282440.601535</v>
      </c>
      <c r="Z4" s="31" t="n">
        <f aca="false">IFERROR(ROUNDUP(Y4,-2),"")</f>
        <v>1282500</v>
      </c>
      <c r="AA4" s="31" t="n">
        <f aca="false">IFERROR(Z4*G4,"")</f>
        <v>6412500</v>
      </c>
      <c r="AB4" s="31" t="n">
        <f aca="false">IFERROR(AA4*TAUX_TVA_VENTE,"")</f>
        <v>1154250</v>
      </c>
      <c r="AC4" s="31" t="n">
        <f aca="false">IFERROR(AA4+AB4,"")</f>
        <v>7566750</v>
      </c>
      <c r="AD4" s="31" t="n">
        <f aca="false">IFERROR(I4,"")</f>
        <v>2745000</v>
      </c>
      <c r="AE4" s="31" t="n">
        <f aca="false">IFERROR(AD4*TAUX_COMMISSION_TTHU,"")</f>
        <v>16470</v>
      </c>
      <c r="AF4" s="31" t="n">
        <f aca="false">IFERROR(MAX(AD4*TAUX_COMMISSION_DBS,COMMISSION_DBS_MIN),"")</f>
        <v>25000</v>
      </c>
      <c r="AG4" s="31" t="n">
        <f aca="false">IFERROR(AF4*TAUX_TAF,"")</f>
        <v>4250</v>
      </c>
      <c r="AH4" s="31" t="n">
        <f aca="false">FORFAIT_SWIFT</f>
        <v>10000</v>
      </c>
      <c r="AI4" s="31" t="n">
        <f aca="false">IFERROR(AH4*TAUX_TAF,"")</f>
        <v>1700</v>
      </c>
      <c r="AJ4" s="31" t="n">
        <f aca="false">FORFAIT_TIMBRE</f>
        <v>20000</v>
      </c>
      <c r="AK4" s="31" t="n">
        <f aca="false">IFERROR(SUM(AE4:AJ4),"")</f>
        <v>77420</v>
      </c>
      <c r="AL4" s="31" t="n">
        <f aca="false">IFERROR(W4-AK4,"")</f>
        <v>1205020.601535</v>
      </c>
      <c r="AM4" s="35" t="n">
        <f aca="false">IFERROR(AL4/U4,"")</f>
        <v>0.234907683071767</v>
      </c>
      <c r="AN4" s="29" t="s">
        <v>120</v>
      </c>
      <c r="AO4" s="30" t="str">
        <f aca="false">IF(AN4="Oui",B4,"")</f>
        <v>Onduleur 10 kVA</v>
      </c>
    </row>
    <row r="5" customFormat="false" ht="15" hidden="false" customHeight="true" outlineLevel="0" collapsed="false">
      <c r="A5" s="29" t="s">
        <v>68</v>
      </c>
      <c r="B5" s="30" t="str">
        <f aca="false">IFERROR(INDEX('Registre offres partenaires'!$B:$B,MATCH($A5,'Registre offres partenaires'!$A:$A,0)),"")</f>
        <v>Groupe electrogene 20 kVA</v>
      </c>
      <c r="C5" s="30" t="str">
        <f aca="false">IFERROR(INDEX('Registre offres partenaires'!$C:$C,MATCH($A5,'Registre offres partenaires'!$A:$A,0)),"")</f>
        <v>DieselPower Africa</v>
      </c>
      <c r="D5" s="30" t="str">
        <f aca="false">IFERROR(INDEX('Registre offres partenaires'!$D:$D,MATCH($A5,'Registre offres partenaires'!$A:$A,0)),"")</f>
        <v>EUR</v>
      </c>
      <c r="E5" s="31" t="n">
        <f aca="false">IFERROR(INDEX('Registre offres partenaires'!$E:$E,MATCH($A5,'Registre offres partenaires'!$A:$A,0)),"")</f>
        <v>3200</v>
      </c>
      <c r="F5" s="32" t="n">
        <f aca="false">IFERROR(INDEX('Registre offres partenaires'!$F:$F,MATCH($A5,'Registre offres partenaires'!$A:$A,0)),"")</f>
        <v>655.957</v>
      </c>
      <c r="G5" s="33" t="n">
        <f aca="false">IFERROR(INDEX('Registre offres partenaires'!$G:$G,MATCH($A5,'Registre offres partenaires'!$A:$A,0)),"")</f>
        <v>2</v>
      </c>
      <c r="H5" s="31" t="n">
        <f aca="false">IFERROR(E5*F5,"")</f>
        <v>2099062.4</v>
      </c>
      <c r="I5" s="31" t="n">
        <f aca="false">IFERROR(H5*G5,"")</f>
        <v>4198124.8</v>
      </c>
      <c r="J5" s="31" t="n">
        <f aca="false">IFERROR(INDEX('Registre offres partenaires'!$I:$I,MATCH($A5,'Registre offres partenaires'!$A:$A,0)),"")</f>
        <v>600000</v>
      </c>
      <c r="K5" s="31" t="n">
        <f aca="false">IFERROR(TAUX_ASSURANCE*(I5+J5),"")</f>
        <v>12475.12448</v>
      </c>
      <c r="L5" s="31" t="n">
        <f aca="false">IFERROR(I5+J5+K5,"")</f>
        <v>4810599.92448</v>
      </c>
      <c r="M5" s="31" t="n">
        <f aca="false">IFERROR(L5*TAUX_DD,"")</f>
        <v>962119.984896</v>
      </c>
      <c r="N5" s="31" t="n">
        <f aca="false">IFERROR(L5*TAUX_RS,"")</f>
        <v>48105.9992448</v>
      </c>
      <c r="O5" s="31" t="n">
        <f aca="false">IFERROR(L5*TAUX_PCS,"")</f>
        <v>48105.9992448</v>
      </c>
      <c r="P5" s="31" t="n">
        <f aca="false">IFERROR(L5*(TAUX_PCC+TAUX_COSEC),"")</f>
        <v>43295.39932032</v>
      </c>
      <c r="Q5" s="31" t="n">
        <f aca="false">IFERROR(L5+M5+N5+O5+P5,"")</f>
        <v>5912227.30718592</v>
      </c>
      <c r="R5" s="31" t="n">
        <f aca="false">IFERROR(Q5*TAUX_TVA_DOUANE,"")</f>
        <v>1064200.91529347</v>
      </c>
      <c r="S5" s="31" t="n">
        <f aca="false">IFERROR(M5+N5+O5+P5+R5,"")</f>
        <v>2165828.29799939</v>
      </c>
      <c r="T5" s="31" t="n">
        <f aca="false">IFERROR(INDEX('Registre offres partenaires'!$J:$J,MATCH($A5,'Registre offres partenaires'!$A:$A,0)),"")</f>
        <v>350000</v>
      </c>
      <c r="U5" s="31" t="n">
        <f aca="false">IFERROR(I5+J5+S5+T5,"")</f>
        <v>7313953.09799939</v>
      </c>
      <c r="V5" s="34" t="n">
        <f aca="false">TAUX_MARGE_CIBLE</f>
        <v>0.25</v>
      </c>
      <c r="W5" s="31" t="n">
        <f aca="false">IFERROR(U5*V5,"")</f>
        <v>1828488.27449985</v>
      </c>
      <c r="X5" s="31" t="n">
        <f aca="false">IFERROR(U5+W5,"")</f>
        <v>9142441.37249923</v>
      </c>
      <c r="Y5" s="31" t="n">
        <f aca="false">IFERROR(X5/G5,"")</f>
        <v>4571220.68624962</v>
      </c>
      <c r="Z5" s="31" t="n">
        <f aca="false">IFERROR(ROUNDUP(Y5,-2),"")</f>
        <v>4571300</v>
      </c>
      <c r="AA5" s="31" t="n">
        <f aca="false">IFERROR(Z5*G5,"")</f>
        <v>9142600</v>
      </c>
      <c r="AB5" s="31" t="n">
        <f aca="false">IFERROR(AA5*TAUX_TVA_VENTE,"")</f>
        <v>1645668</v>
      </c>
      <c r="AC5" s="31" t="n">
        <f aca="false">IFERROR(AA5+AB5,"")</f>
        <v>10788268</v>
      </c>
      <c r="AD5" s="31" t="n">
        <f aca="false">IFERROR(I5,"")</f>
        <v>4198124.8</v>
      </c>
      <c r="AE5" s="31" t="n">
        <f aca="false">IFERROR(AD5*TAUX_COMMISSION_TTHU,"")</f>
        <v>25188.7488</v>
      </c>
      <c r="AF5" s="31" t="n">
        <f aca="false">IFERROR(MAX(AD5*TAUX_COMMISSION_DBS,COMMISSION_DBS_MIN),"")</f>
        <v>25188.7488</v>
      </c>
      <c r="AG5" s="31" t="n">
        <f aca="false">IFERROR(AF5*TAUX_TAF,"")</f>
        <v>4282.087296</v>
      </c>
      <c r="AH5" s="31" t="n">
        <f aca="false">FORFAIT_SWIFT</f>
        <v>10000</v>
      </c>
      <c r="AI5" s="31" t="n">
        <f aca="false">IFERROR(AH5*TAUX_TAF,"")</f>
        <v>1700</v>
      </c>
      <c r="AJ5" s="31" t="n">
        <f aca="false">FORFAIT_TIMBRE</f>
        <v>20000</v>
      </c>
      <c r="AK5" s="31" t="n">
        <f aca="false">IFERROR(SUM(AE5:AJ5),"")</f>
        <v>86359.584896</v>
      </c>
      <c r="AL5" s="31" t="n">
        <f aca="false">IFERROR(W5-AK5,"")</f>
        <v>1742128.68960385</v>
      </c>
      <c r="AM5" s="35" t="n">
        <f aca="false">IFERROR(AL5/U5,"")</f>
        <v>0.2381924885573</v>
      </c>
      <c r="AN5" s="29" t="s">
        <v>119</v>
      </c>
      <c r="AO5" s="30" t="str">
        <f aca="false">IF(AN5="Oui",B5,"")</f>
        <v/>
      </c>
    </row>
    <row r="6" customFormat="false" ht="15" hidden="false" customHeight="true" outlineLevel="0" collapsed="false">
      <c r="A6" s="29" t="s">
        <v>72</v>
      </c>
      <c r="B6" s="30" t="str">
        <f aca="false">IFERROR(INDEX('Registre offres partenaires'!$B:$B,MATCH($A6,'Registre offres partenaires'!$A:$A,0)),"")</f>
        <v>Groupe electrogene 20 kVA</v>
      </c>
      <c r="C6" s="30" t="str">
        <f aca="false">IFERROR(INDEX('Registre offres partenaires'!$C:$C,MATCH($A6,'Registre offres partenaires'!$A:$A,0)),"")</f>
        <v>GenSet International</v>
      </c>
      <c r="D6" s="30" t="str">
        <f aca="false">IFERROR(INDEX('Registre offres partenaires'!$D:$D,MATCH($A6,'Registre offres partenaires'!$A:$A,0)),"")</f>
        <v>USD</v>
      </c>
      <c r="E6" s="31" t="n">
        <f aca="false">IFERROR(INDEX('Registre offres partenaires'!$E:$E,MATCH($A6,'Registre offres partenaires'!$A:$A,0)),"")</f>
        <v>3450</v>
      </c>
      <c r="F6" s="32" t="n">
        <f aca="false">IFERROR(INDEX('Registre offres partenaires'!$F:$F,MATCH($A6,'Registre offres partenaires'!$A:$A,0)),"")</f>
        <v>610</v>
      </c>
      <c r="G6" s="33" t="n">
        <f aca="false">IFERROR(INDEX('Registre offres partenaires'!$G:$G,MATCH($A6,'Registre offres partenaires'!$A:$A,0)),"")</f>
        <v>2</v>
      </c>
      <c r="H6" s="31" t="n">
        <f aca="false">IFERROR(E6*F6,"")</f>
        <v>2104500</v>
      </c>
      <c r="I6" s="31" t="n">
        <f aca="false">IFERROR(H6*G6,"")</f>
        <v>4209000</v>
      </c>
      <c r="J6" s="31" t="n">
        <f aca="false">IFERROR(INDEX('Registre offres partenaires'!$I:$I,MATCH($A6,'Registre offres partenaires'!$A:$A,0)),"")</f>
        <v>650000</v>
      </c>
      <c r="K6" s="31" t="n">
        <f aca="false">IFERROR(TAUX_ASSURANCE*(I6+J6),"")</f>
        <v>12633.4</v>
      </c>
      <c r="L6" s="31" t="n">
        <f aca="false">IFERROR(I6+J6+K6,"")</f>
        <v>4871633.4</v>
      </c>
      <c r="M6" s="31" t="n">
        <f aca="false">IFERROR(L6*TAUX_DD,"")</f>
        <v>974326.68</v>
      </c>
      <c r="N6" s="31" t="n">
        <f aca="false">IFERROR(L6*TAUX_RS,"")</f>
        <v>48716.334</v>
      </c>
      <c r="O6" s="31" t="n">
        <f aca="false">IFERROR(L6*TAUX_PCS,"")</f>
        <v>48716.334</v>
      </c>
      <c r="P6" s="31" t="n">
        <f aca="false">IFERROR(L6*(TAUX_PCC+TAUX_COSEC),"")</f>
        <v>43844.7006</v>
      </c>
      <c r="Q6" s="31" t="n">
        <f aca="false">IFERROR(L6+M6+N6+O6+P6,"")</f>
        <v>5987237.4486</v>
      </c>
      <c r="R6" s="31" t="n">
        <f aca="false">IFERROR(Q6*TAUX_TVA_DOUANE,"")</f>
        <v>1077702.740748</v>
      </c>
      <c r="S6" s="31" t="n">
        <f aca="false">IFERROR(M6+N6+O6+P6+R6,"")</f>
        <v>2193306.789348</v>
      </c>
      <c r="T6" s="31" t="n">
        <f aca="false">IFERROR(INDEX('Registre offres partenaires'!$J:$J,MATCH($A6,'Registre offres partenaires'!$A:$A,0)),"")</f>
        <v>400000</v>
      </c>
      <c r="U6" s="31" t="n">
        <f aca="false">IFERROR(I6+J6+S6+T6,"")</f>
        <v>7452306.789348</v>
      </c>
      <c r="V6" s="34" t="n">
        <f aca="false">TAUX_MARGE_CIBLE</f>
        <v>0.25</v>
      </c>
      <c r="W6" s="31" t="n">
        <f aca="false">IFERROR(U6*V6,"")</f>
        <v>1863076.697337</v>
      </c>
      <c r="X6" s="31" t="n">
        <f aca="false">IFERROR(U6+W6,"")</f>
        <v>9315383.486685</v>
      </c>
      <c r="Y6" s="31" t="n">
        <f aca="false">IFERROR(X6/G6,"")</f>
        <v>4657691.7433425</v>
      </c>
      <c r="Z6" s="31" t="n">
        <f aca="false">IFERROR(ROUNDUP(Y6,-2),"")</f>
        <v>4657700</v>
      </c>
      <c r="AA6" s="31" t="n">
        <f aca="false">IFERROR(Z6*G6,"")</f>
        <v>9315400</v>
      </c>
      <c r="AB6" s="31" t="n">
        <f aca="false">IFERROR(AA6*TAUX_TVA_VENTE,"")</f>
        <v>1676772</v>
      </c>
      <c r="AC6" s="31" t="n">
        <f aca="false">IFERROR(AA6+AB6,"")</f>
        <v>10992172</v>
      </c>
      <c r="AD6" s="31" t="n">
        <f aca="false">IFERROR(I6,"")</f>
        <v>4209000</v>
      </c>
      <c r="AE6" s="31" t="n">
        <f aca="false">IFERROR(AD6*TAUX_COMMISSION_TTHU,"")</f>
        <v>25254</v>
      </c>
      <c r="AF6" s="31" t="n">
        <f aca="false">IFERROR(MAX(AD6*TAUX_COMMISSION_DBS,COMMISSION_DBS_MIN),"")</f>
        <v>25254</v>
      </c>
      <c r="AG6" s="31" t="n">
        <f aca="false">IFERROR(AF6*TAUX_TAF,"")</f>
        <v>4293.18</v>
      </c>
      <c r="AH6" s="31" t="n">
        <f aca="false">FORFAIT_SWIFT</f>
        <v>10000</v>
      </c>
      <c r="AI6" s="31" t="n">
        <f aca="false">IFERROR(AH6*TAUX_TAF,"")</f>
        <v>1700</v>
      </c>
      <c r="AJ6" s="31" t="n">
        <f aca="false">FORFAIT_TIMBRE</f>
        <v>20000</v>
      </c>
      <c r="AK6" s="31" t="n">
        <f aca="false">IFERROR(SUM(AE6:AJ6),"")</f>
        <v>86501.18</v>
      </c>
      <c r="AL6" s="31" t="n">
        <f aca="false">IFERROR(W6-AK6,"")</f>
        <v>1776575.517337</v>
      </c>
      <c r="AM6" s="35" t="n">
        <f aca="false">IFERROR(AL6/U6,"")</f>
        <v>0.238392697396242</v>
      </c>
      <c r="AN6" s="29" t="s">
        <v>120</v>
      </c>
      <c r="AO6" s="30" t="str">
        <f aca="false">IF(AN6="Oui",B6,"")</f>
        <v>Groupe electrogene 20 kVA</v>
      </c>
    </row>
  </sheetData>
  <mergeCells count="7">
    <mergeCell ref="A1:D1"/>
    <mergeCell ref="E1:I1"/>
    <mergeCell ref="J1:T1"/>
    <mergeCell ref="U1:X1"/>
    <mergeCell ref="Y1:AC1"/>
    <mergeCell ref="AD1:AK1"/>
    <mergeCell ref="AL1:AO1"/>
  </mergeCells>
  <conditionalFormatting sqref="AL3:AL6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A3:A6" type="list">
      <formula1>'Registre offres partenaires'!$A$2:$A$200</formula1>
      <formula2>0</formula2>
    </dataValidation>
    <dataValidation allowBlank="true" errorStyle="stop" operator="between" showDropDown="false" showErrorMessage="false" showInputMessage="false" sqref="AN3:AN6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15" t="s">
        <v>47</v>
      </c>
      <c r="B1" s="15" t="s">
        <v>121</v>
      </c>
      <c r="C1" s="15" t="s">
        <v>86</v>
      </c>
      <c r="D1" s="15" t="s">
        <v>122</v>
      </c>
      <c r="E1" s="15" t="s">
        <v>123</v>
      </c>
      <c r="F1" s="15" t="s">
        <v>124</v>
      </c>
      <c r="G1" s="15" t="s">
        <v>106</v>
      </c>
      <c r="H1" s="15" t="s">
        <v>125</v>
      </c>
      <c r="I1" s="15" t="s">
        <v>116</v>
      </c>
    </row>
    <row r="2" customFormat="false" ht="15" hidden="false" customHeight="true" outlineLevel="0" collapsed="false">
      <c r="A2" s="36" t="s">
        <v>58</v>
      </c>
      <c r="B2" s="36" t="str">
        <f aca="false">IFERROR(INDEX('Calcul par offre'!$C$3:$C$6,MATCH($A2,'Calcul par offre'!$AO$3:$AO$6,0)),"(aucune offre retenue)")</f>
        <v>EnerGlobal Ltd</v>
      </c>
      <c r="C2" s="37" t="n">
        <f aca="false">IFERROR(INDEX('Calcul par offre'!$G$3:$G$6,MATCH($A2,'Calcul par offre'!$AO$3:$AO$6,0)),"")</f>
        <v>5</v>
      </c>
      <c r="D2" s="38" t="n">
        <f aca="false">IFERROR(INDEX('Calcul par offre'!$Z$3:$Z$6,MATCH($A2,'Calcul par offre'!$AO$3:$AO$6,0)),"")</f>
        <v>1282500</v>
      </c>
      <c r="E2" s="38" t="n">
        <f aca="false">IFERROR(INDEX('Calcul par offre'!$AA$3:$AA$6,MATCH($A2,'Calcul par offre'!$AO$3:$AO$6,0)),"")</f>
        <v>6412500</v>
      </c>
      <c r="F2" s="38" t="n">
        <f aca="false">IFERROR(INDEX('Calcul par offre'!$AB$3:$AB$6,MATCH($A2,'Calcul par offre'!$AO$3:$AO$6,0)),"")</f>
        <v>1154250</v>
      </c>
      <c r="G2" s="38" t="n">
        <f aca="false">IFERROR(INDEX('Calcul par offre'!$AC$3:$AC$6,MATCH($A2,'Calcul par offre'!$AO$3:$AO$6,0)),"")</f>
        <v>7566750</v>
      </c>
      <c r="H2" s="38" t="n">
        <f aca="false">IFERROR(INDEX('Calcul par offre'!$AL$3:$AL$6,MATCH($A2,'Calcul par offre'!$AO$3:$AO$6,0)),"")</f>
        <v>1205020.601535</v>
      </c>
      <c r="I2" s="39" t="n">
        <f aca="false">IFERROR(INDEX('Calcul par offre'!$AM$3:$AM$6,MATCH($A2,'Calcul par offre'!$AO$3:$AO$6,0)),"")</f>
        <v>0.234907683071767</v>
      </c>
    </row>
    <row r="3" customFormat="false" ht="15" hidden="false" customHeight="true" outlineLevel="0" collapsed="false">
      <c r="A3" s="36" t="s">
        <v>69</v>
      </c>
      <c r="B3" s="36" t="str">
        <f aca="false">IFERROR(INDEX('Calcul par offre'!$C$3:$C$6,MATCH($A3,'Calcul par offre'!$AO$3:$AO$6,0)),"(aucune offre retenue)")</f>
        <v>GenSet International</v>
      </c>
      <c r="C3" s="37" t="n">
        <f aca="false">IFERROR(INDEX('Calcul par offre'!$G$3:$G$6,MATCH($A3,'Calcul par offre'!$AO$3:$AO$6,0)),"")</f>
        <v>2</v>
      </c>
      <c r="D3" s="38" t="n">
        <f aca="false">IFERROR(INDEX('Calcul par offre'!$Z$3:$Z$6,MATCH($A3,'Calcul par offre'!$AO$3:$AO$6,0)),"")</f>
        <v>4657700</v>
      </c>
      <c r="E3" s="38" t="n">
        <f aca="false">IFERROR(INDEX('Calcul par offre'!$AA$3:$AA$6,MATCH($A3,'Calcul par offre'!$AO$3:$AO$6,0)),"")</f>
        <v>9315400</v>
      </c>
      <c r="F3" s="38" t="n">
        <f aca="false">IFERROR(INDEX('Calcul par offre'!$AB$3:$AB$6,MATCH($A3,'Calcul par offre'!$AO$3:$AO$6,0)),"")</f>
        <v>1676772</v>
      </c>
      <c r="G3" s="38" t="n">
        <f aca="false">IFERROR(INDEX('Calcul par offre'!$AC$3:$AC$6,MATCH($A3,'Calcul par offre'!$AO$3:$AO$6,0)),"")</f>
        <v>10992172</v>
      </c>
      <c r="H3" s="38" t="n">
        <f aca="false">IFERROR(INDEX('Calcul par offre'!$AL$3:$AL$6,MATCH($A3,'Calcul par offre'!$AO$3:$AO$6,0)),"")</f>
        <v>1776575.517337</v>
      </c>
      <c r="I3" s="39" t="n">
        <f aca="false">IFERROR(INDEX('Calcul par offre'!$AM$3:$AM$6,MATCH($A3,'Calcul par offre'!$AO$3:$AO$6,0)),"")</f>
        <v>0.238392697396242</v>
      </c>
    </row>
    <row r="5" customFormat="false" ht="27.75" hidden="false" customHeight="true" outlineLevel="0" collapsed="false">
      <c r="A5" s="40" t="s">
        <v>126</v>
      </c>
      <c r="B5" s="40"/>
      <c r="C5" s="40"/>
      <c r="D5" s="40"/>
      <c r="E5" s="40"/>
      <c r="F5" s="40"/>
      <c r="G5" s="40"/>
    </row>
  </sheetData>
  <mergeCells count="1">
    <mergeCell ref="A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2026-09-07T13:24:58Z</dcterms:created>
  <dc:creator>openpyxl</dc:creator>
  <dc:description/>
  <dc:language>en-US</dc:language>
  <cp:lastModifiedBy/>
  <dcterms:modified xsi:type="dcterms:W3CDTF">2026-09-07T13:25:19Z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